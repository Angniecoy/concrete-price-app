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NCRETE PRICE APP\"/>
    </mc:Choice>
  </mc:AlternateContent>
  <xr:revisionPtr revIDLastSave="0" documentId="8_{348283F7-DC53-4F88-953F-04D5E89C505D}" xr6:coauthVersionLast="47" xr6:coauthVersionMax="47" xr10:uidLastSave="{00000000-0000-0000-0000-000000000000}"/>
  <bookViews>
    <workbookView xWindow="-108" yWindow="-108" windowWidth="23256" windowHeight="12576" xr2:uid="{4EB800CB-364C-412F-8A76-7D00D6AFB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  <c r="D8" i="1"/>
  <c r="D17" i="1"/>
  <c r="D4" i="1"/>
  <c r="D16" i="1" l="1"/>
  <c r="D22" i="1" l="1"/>
  <c r="D23" i="1" s="1"/>
  <c r="D20" i="1"/>
  <c r="D21" i="1" s="1"/>
  <c r="D18" i="1"/>
  <c r="D25" i="1" l="1"/>
  <c r="D19" i="1"/>
  <c r="D26" i="1"/>
  <c r="D27" i="1" s="1"/>
  <c r="D28" i="1" l="1"/>
</calcChain>
</file>

<file path=xl/sharedStrings.xml><?xml version="1.0" encoding="utf-8"?>
<sst xmlns="http://schemas.openxmlformats.org/spreadsheetml/2006/main" count="68" uniqueCount="53">
  <si>
    <t>Acuan Biaya Batching Plant (Update berkala/bulanan)</t>
  </si>
  <si>
    <t>Uraian</t>
  </si>
  <si>
    <t>Sat.</t>
  </si>
  <si>
    <t>Kode</t>
  </si>
  <si>
    <t>Nilai</t>
  </si>
  <si>
    <t>Kapasitas Produksi</t>
  </si>
  <si>
    <t>a</t>
  </si>
  <si>
    <t>Biaya COGM</t>
  </si>
  <si>
    <t>b</t>
  </si>
  <si>
    <t>Biaya Upah Langsung</t>
  </si>
  <si>
    <t>c</t>
  </si>
  <si>
    <t>Biaya BBM Alat</t>
  </si>
  <si>
    <t>d</t>
  </si>
  <si>
    <r>
      <t>Total biaya tetap (</t>
    </r>
    <r>
      <rPr>
        <b/>
        <i/>
        <sz val="11"/>
        <color theme="1"/>
        <rFont val="Tahoma"/>
        <family val="2"/>
      </rPr>
      <t>fixed cost</t>
    </r>
    <r>
      <rPr>
        <b/>
        <sz val="11"/>
        <color theme="1"/>
        <rFont val="Tahoma"/>
        <family val="2"/>
      </rPr>
      <t>)</t>
    </r>
  </si>
  <si>
    <t>Rp</t>
  </si>
  <si>
    <t>f</t>
  </si>
  <si>
    <r>
      <t xml:space="preserve">Biaya variabel </t>
    </r>
    <r>
      <rPr>
        <b/>
        <i/>
        <sz val="11"/>
        <color theme="1"/>
        <rFont val="Tahoma"/>
        <family val="2"/>
      </rPr>
      <t>(variable cost)</t>
    </r>
  </si>
  <si>
    <t>e=b-c-d</t>
  </si>
  <si>
    <r>
      <t>Biaya tetap (</t>
    </r>
    <r>
      <rPr>
        <b/>
        <i/>
        <sz val="11"/>
        <color theme="1"/>
        <rFont val="Tahoma"/>
        <family val="2"/>
      </rPr>
      <t>fixed cost</t>
    </r>
    <r>
      <rPr>
        <b/>
        <sz val="11"/>
        <color theme="1"/>
        <rFont val="Tahoma"/>
        <family val="2"/>
      </rPr>
      <t>)</t>
    </r>
  </si>
  <si>
    <t>Kalkulator Cek Penawaran Proyek (Diisi saat ada order)</t>
  </si>
  <si>
    <t>Harga Jual</t>
  </si>
  <si>
    <t>h</t>
  </si>
  <si>
    <t>Rencana Volume</t>
  </si>
  <si>
    <t>i</t>
  </si>
  <si>
    <t>Mutu Beton Rencana</t>
  </si>
  <si>
    <r>
      <t xml:space="preserve">K250 Slump 12 </t>
    </r>
    <r>
      <rPr>
        <sz val="11"/>
        <color theme="1"/>
        <rFont val="Aptos Narrow"/>
        <family val="2"/>
      </rPr>
      <t>±</t>
    </r>
    <r>
      <rPr>
        <sz val="11"/>
        <color theme="1"/>
        <rFont val="Tahoma"/>
        <family val="2"/>
      </rPr>
      <t xml:space="preserve"> 2</t>
    </r>
  </si>
  <si>
    <t>Jarak Proyek dari Batching Plant</t>
  </si>
  <si>
    <t>Km</t>
  </si>
  <si>
    <t>Margin kontribusi</t>
  </si>
  <si>
    <t>j=h-e</t>
  </si>
  <si>
    <t>Beban Biaya Tetap Proporsional</t>
  </si>
  <si>
    <t>k=f/a</t>
  </si>
  <si>
    <t>BEP Volume</t>
  </si>
  <si>
    <t>l=f/j</t>
  </si>
  <si>
    <t>Status Target Volume Proyek</t>
  </si>
  <si>
    <t>Total Margin kontribusi</t>
  </si>
  <si>
    <t>m=i*j</t>
  </si>
  <si>
    <t>Laba Operasi Proporsional Proyek</t>
  </si>
  <si>
    <t>n=m-k</t>
  </si>
  <si>
    <t>Estimasi Laba Operasi Batching Plant</t>
  </si>
  <si>
    <t>m=l-a</t>
  </si>
  <si>
    <t>Status Kelayakan Harga Proyek</t>
  </si>
  <si>
    <t>BEP Rupiah</t>
  </si>
  <si>
    <t>f = e*c</t>
  </si>
  <si>
    <r>
      <t xml:space="preserve">Total biaya variabel </t>
    </r>
    <r>
      <rPr>
        <b/>
        <i/>
        <sz val="11"/>
        <color theme="1"/>
        <rFont val="Tahoma"/>
        <family val="2"/>
      </rPr>
      <t>(variable cost)</t>
    </r>
  </si>
  <si>
    <t>g = b*e</t>
  </si>
  <si>
    <t>Total biaya</t>
  </si>
  <si>
    <t>h = a+g</t>
  </si>
  <si>
    <t>Cek harus 0</t>
  </si>
  <si>
    <t>i = f-h</t>
  </si>
  <si>
    <t>g=f/a</t>
  </si>
  <si>
    <r>
      <t>m</t>
    </r>
    <r>
      <rPr>
        <vertAlign val="superscript"/>
        <sz val="11"/>
        <color theme="1"/>
        <rFont val="Tahoma"/>
        <family val="2"/>
      </rPr>
      <t>3</t>
    </r>
  </si>
  <si>
    <r>
      <t>Rp/m</t>
    </r>
    <r>
      <rPr>
        <vertAlign val="superscript"/>
        <sz val="11"/>
        <color theme="1"/>
        <rFont val="Tahoma"/>
        <family val="2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</si>
</sst>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i/>
      <sz val="11"/>
      <color theme="1"/>
      <name val="Tahoma"/>
      <family val="2"/>
    </font>
    <font>
      <sz val="11"/>
      <color theme="1"/>
      <name val="Aptos Narrow"/>
      <family val="2"/>
    </font>
    <font>
      <vertAlign val="superscript"/>
      <sz val="11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66" fontId="3" fillId="3" borderId="1" xfId="1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166" fontId="3" fillId="0" borderId="1" xfId="1" applyNumberFormat="1" applyFont="1" applyBorder="1" applyAlignment="1">
      <alignment vertical="center"/>
    </xf>
    <xf numFmtId="166" fontId="3" fillId="0" borderId="0" xfId="1" applyNumberFormat="1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166" fontId="3" fillId="4" borderId="1" xfId="1" applyNumberFormat="1" applyFont="1" applyFill="1" applyBorder="1" applyAlignment="1">
      <alignment vertical="center"/>
    </xf>
    <xf numFmtId="166" fontId="3" fillId="4" borderId="1" xfId="1" applyNumberFormat="1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vertical="center"/>
    </xf>
    <xf numFmtId="166" fontId="3" fillId="5" borderId="1" xfId="1" applyNumberFormat="1" applyFont="1" applyFill="1" applyBorder="1" applyAlignment="1">
      <alignment vertical="center"/>
    </xf>
    <xf numFmtId="166" fontId="2" fillId="5" borderId="1" xfId="1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837C1-DA57-445A-A216-C434D43FE5DD}">
  <dimension ref="A1:D28"/>
  <sheetViews>
    <sheetView tabSelected="1" workbookViewId="0">
      <selection activeCell="H18" sqref="H18"/>
    </sheetView>
  </sheetViews>
  <sheetFormatPr defaultRowHeight="14.4" x14ac:dyDescent="0.3"/>
  <cols>
    <col min="1" max="1" width="39.33203125" customWidth="1"/>
    <col min="2" max="2" width="7.44140625" style="20" customWidth="1"/>
    <col min="3" max="3" width="9.33203125" style="20" customWidth="1"/>
    <col min="4" max="4" width="37.88671875" bestFit="1" customWidth="1"/>
  </cols>
  <sheetData>
    <row r="1" spans="1:4" x14ac:dyDescent="0.3">
      <c r="A1" s="1" t="s">
        <v>0</v>
      </c>
      <c r="B1" s="18"/>
      <c r="C1" s="18"/>
      <c r="D1" s="2"/>
    </row>
    <row r="2" spans="1:4" x14ac:dyDescent="0.3">
      <c r="A2" s="3" t="s">
        <v>1</v>
      </c>
      <c r="B2" s="3" t="s">
        <v>2</v>
      </c>
      <c r="C2" s="3" t="s">
        <v>3</v>
      </c>
      <c r="D2" s="3" t="s">
        <v>4</v>
      </c>
    </row>
    <row r="3" spans="1:4" ht="15.6" x14ac:dyDescent="0.3">
      <c r="A3" s="4" t="s">
        <v>5</v>
      </c>
      <c r="B3" s="19" t="s">
        <v>51</v>
      </c>
      <c r="C3" s="19" t="s">
        <v>6</v>
      </c>
      <c r="D3" s="5">
        <v>7392</v>
      </c>
    </row>
    <row r="4" spans="1:4" ht="15.6" x14ac:dyDescent="0.3">
      <c r="A4" s="4" t="s">
        <v>7</v>
      </c>
      <c r="B4" s="19" t="s">
        <v>52</v>
      </c>
      <c r="C4" s="19" t="s">
        <v>8</v>
      </c>
      <c r="D4" s="5">
        <f>1095192.81025581</f>
        <v>1095192.8102558099</v>
      </c>
    </row>
    <row r="5" spans="1:4" ht="15.6" x14ac:dyDescent="0.3">
      <c r="A5" s="6" t="s">
        <v>9</v>
      </c>
      <c r="B5" s="19" t="s">
        <v>52</v>
      </c>
      <c r="C5" s="19" t="s">
        <v>10</v>
      </c>
      <c r="D5" s="5">
        <v>21830.753392926701</v>
      </c>
    </row>
    <row r="6" spans="1:4" ht="15.6" x14ac:dyDescent="0.3">
      <c r="A6" s="4" t="s">
        <v>11</v>
      </c>
      <c r="B6" s="19" t="s">
        <v>52</v>
      </c>
      <c r="C6" s="19" t="s">
        <v>12</v>
      </c>
      <c r="D6" s="5">
        <v>111385.69187737801</v>
      </c>
    </row>
    <row r="7" spans="1:4" x14ac:dyDescent="0.3">
      <c r="A7" s="4" t="s">
        <v>13</v>
      </c>
      <c r="B7" s="19" t="s">
        <v>14</v>
      </c>
      <c r="C7" s="19" t="s">
        <v>15</v>
      </c>
      <c r="D7" s="5">
        <v>668523832.04952836</v>
      </c>
    </row>
    <row r="8" spans="1:4" ht="15.6" x14ac:dyDescent="0.3">
      <c r="A8" s="4" t="s">
        <v>16</v>
      </c>
      <c r="B8" s="19" t="s">
        <v>52</v>
      </c>
      <c r="C8" s="19" t="s">
        <v>17</v>
      </c>
      <c r="D8" s="7">
        <f>D4-D5-D6</f>
        <v>961976.36498550524</v>
      </c>
    </row>
    <row r="9" spans="1:4" ht="15.6" x14ac:dyDescent="0.3">
      <c r="A9" s="4" t="s">
        <v>18</v>
      </c>
      <c r="B9" s="19" t="s">
        <v>52</v>
      </c>
      <c r="C9" s="19" t="s">
        <v>50</v>
      </c>
      <c r="D9" s="7">
        <f>D7/D3</f>
        <v>90438.830093280354</v>
      </c>
    </row>
    <row r="10" spans="1:4" x14ac:dyDescent="0.3">
      <c r="A10" s="1"/>
      <c r="B10" s="18"/>
      <c r="C10" s="18"/>
      <c r="D10" s="8"/>
    </row>
    <row r="11" spans="1:4" x14ac:dyDescent="0.3">
      <c r="A11" s="1" t="s">
        <v>19</v>
      </c>
      <c r="B11" s="18"/>
      <c r="C11" s="18"/>
      <c r="D11" s="2"/>
    </row>
    <row r="12" spans="1:4" ht="15.6" x14ac:dyDescent="0.3">
      <c r="A12" s="4" t="s">
        <v>20</v>
      </c>
      <c r="B12" s="19" t="s">
        <v>52</v>
      </c>
      <c r="C12" s="19" t="s">
        <v>21</v>
      </c>
      <c r="D12" s="9">
        <v>1160000</v>
      </c>
    </row>
    <row r="13" spans="1:4" ht="15.6" x14ac:dyDescent="0.3">
      <c r="A13" s="4" t="s">
        <v>22</v>
      </c>
      <c r="B13" s="19" t="s">
        <v>51</v>
      </c>
      <c r="C13" s="19" t="s">
        <v>23</v>
      </c>
      <c r="D13" s="10">
        <v>1</v>
      </c>
    </row>
    <row r="14" spans="1:4" x14ac:dyDescent="0.3">
      <c r="A14" s="4" t="s">
        <v>24</v>
      </c>
      <c r="B14" s="19"/>
      <c r="C14" s="19"/>
      <c r="D14" s="11" t="s">
        <v>25</v>
      </c>
    </row>
    <row r="15" spans="1:4" x14ac:dyDescent="0.3">
      <c r="A15" s="4" t="s">
        <v>26</v>
      </c>
      <c r="B15" s="19" t="s">
        <v>27</v>
      </c>
      <c r="C15" s="19"/>
      <c r="D15" s="10">
        <v>20</v>
      </c>
    </row>
    <row r="16" spans="1:4" ht="15.6" x14ac:dyDescent="0.3">
      <c r="A16" s="4" t="s">
        <v>28</v>
      </c>
      <c r="B16" s="19" t="s">
        <v>52</v>
      </c>
      <c r="C16" s="19" t="s">
        <v>29</v>
      </c>
      <c r="D16" s="12">
        <f>D12-D8</f>
        <v>198023.63501449476</v>
      </c>
    </row>
    <row r="17" spans="1:4" x14ac:dyDescent="0.3">
      <c r="A17" s="4" t="s">
        <v>30</v>
      </c>
      <c r="B17" s="19" t="s">
        <v>14</v>
      </c>
      <c r="C17" s="19" t="s">
        <v>31</v>
      </c>
      <c r="D17" s="12">
        <f>D13/D3*D7</f>
        <v>90438.830093280354</v>
      </c>
    </row>
    <row r="18" spans="1:4" ht="15.6" x14ac:dyDescent="0.3">
      <c r="A18" s="4" t="s">
        <v>32</v>
      </c>
      <c r="B18" s="19" t="s">
        <v>51</v>
      </c>
      <c r="C18" s="19" t="s">
        <v>33</v>
      </c>
      <c r="D18" s="13">
        <f>D7/D16</f>
        <v>3375.9800036020665</v>
      </c>
    </row>
    <row r="19" spans="1:4" x14ac:dyDescent="0.3">
      <c r="A19" s="4" t="s">
        <v>34</v>
      </c>
      <c r="B19" s="19"/>
      <c r="C19" s="19"/>
      <c r="D19" s="14" t="str">
        <f>IF(D18&gt;=D3*2, "Over Kapasitas", IF(D18&gt;7392, "Perlu 2 Shift", "Kapasitas Tercukupi"))</f>
        <v>Kapasitas Tercukupi</v>
      </c>
    </row>
    <row r="20" spans="1:4" x14ac:dyDescent="0.3">
      <c r="A20" s="4" t="s">
        <v>35</v>
      </c>
      <c r="B20" s="19" t="s">
        <v>14</v>
      </c>
      <c r="C20" s="19" t="s">
        <v>36</v>
      </c>
      <c r="D20" s="15">
        <f>D16*D13</f>
        <v>198023.63501449476</v>
      </c>
    </row>
    <row r="21" spans="1:4" x14ac:dyDescent="0.3">
      <c r="A21" s="4" t="s">
        <v>37</v>
      </c>
      <c r="B21" s="19" t="s">
        <v>14</v>
      </c>
      <c r="C21" s="19" t="s">
        <v>38</v>
      </c>
      <c r="D21" s="15">
        <f>D20-D17</f>
        <v>107584.80492121441</v>
      </c>
    </row>
    <row r="22" spans="1:4" x14ac:dyDescent="0.3">
      <c r="A22" s="4" t="s">
        <v>39</v>
      </c>
      <c r="B22" s="19" t="s">
        <v>14</v>
      </c>
      <c r="C22" s="19" t="s">
        <v>40</v>
      </c>
      <c r="D22" s="15">
        <f>(D16*D13)-D7</f>
        <v>-668325808.41451383</v>
      </c>
    </row>
    <row r="23" spans="1:4" x14ac:dyDescent="0.3">
      <c r="A23" s="4" t="s">
        <v>41</v>
      </c>
      <c r="B23" s="19"/>
      <c r="C23" s="19"/>
      <c r="D23" s="16" t="str">
        <f>IF(D22&lt;=-D7, "🔴 Tolak / Rugi Variabel", IF(D22&gt;=0, "🟢 Sangat Layak (Laba Penuh)", "🟡 Layak (Bantu Tutup Biaya Tetap)"))</f>
        <v>🟡 Layak (Bantu Tutup Biaya Tetap)</v>
      </c>
    </row>
    <row r="24" spans="1:4" x14ac:dyDescent="0.3">
      <c r="A24" s="2"/>
      <c r="B24" s="18"/>
      <c r="C24" s="18"/>
      <c r="D24" s="2"/>
    </row>
    <row r="25" spans="1:4" x14ac:dyDescent="0.3">
      <c r="A25" s="4" t="s">
        <v>42</v>
      </c>
      <c r="B25" s="19" t="s">
        <v>14</v>
      </c>
      <c r="C25" s="19" t="s">
        <v>43</v>
      </c>
      <c r="D25" s="7">
        <f>D18*D12</f>
        <v>3916136804.1783972</v>
      </c>
    </row>
    <row r="26" spans="1:4" x14ac:dyDescent="0.3">
      <c r="A26" s="4" t="s">
        <v>44</v>
      </c>
      <c r="B26" s="19" t="s">
        <v>14</v>
      </c>
      <c r="C26" s="19" t="s">
        <v>45</v>
      </c>
      <c r="D26" s="7">
        <f>D8*D18</f>
        <v>3247612972.1288691</v>
      </c>
    </row>
    <row r="27" spans="1:4" x14ac:dyDescent="0.3">
      <c r="A27" s="4" t="s">
        <v>46</v>
      </c>
      <c r="B27" s="19" t="s">
        <v>14</v>
      </c>
      <c r="C27" s="19" t="s">
        <v>47</v>
      </c>
      <c r="D27" s="17">
        <f>D26+D7</f>
        <v>3916136804.1783972</v>
      </c>
    </row>
    <row r="28" spans="1:4" x14ac:dyDescent="0.3">
      <c r="A28" s="4" t="s">
        <v>48</v>
      </c>
      <c r="B28" s="19"/>
      <c r="C28" s="19" t="s">
        <v>49</v>
      </c>
      <c r="D28" s="17">
        <f>D27-D25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RIFKY ALFA HIMAM</dc:creator>
  <cp:lastModifiedBy>Fani Fakhrurozi</cp:lastModifiedBy>
  <dcterms:created xsi:type="dcterms:W3CDTF">2026-09-17T04:58:29Z</dcterms:created>
  <dcterms:modified xsi:type="dcterms:W3CDTF">2026-09-17T06:23:00Z</dcterms:modified>
</cp:coreProperties>
</file>